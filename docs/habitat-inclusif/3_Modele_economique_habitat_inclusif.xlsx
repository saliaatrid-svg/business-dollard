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Budget annuel" sheetId="2" state="visible" r:id="rId2"/>
    <sheet xmlns:r="http://schemas.openxmlformats.org/officeDocument/2006/relationships" name="Scénarios éligibles" sheetId="3" state="visible" r:id="rId3"/>
    <sheet xmlns:r="http://schemas.openxmlformats.org/officeDocument/2006/relationships" name="Investiss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0" customWidth="1" min="3" max="3"/>
    <col width="80" customWidth="1" min="4" max="4"/>
  </cols>
  <sheetData>
    <row r="1">
      <c r="A1" s="1" t="inlineStr">
        <is>
          <t>Modèle économique — habitat inclusif (Marne)</t>
        </is>
      </c>
    </row>
    <row r="2" ht="45" customHeight="1">
      <c r="A2" s="2" t="inlineStr">
        <is>
          <t>Les cellules jaunes sont des HYPOTHÈSES ILLUSTRATIVES à remplacer par vos données réelles et par les barèmes du Département. Aucune valeur n'est un chiffre officiel.</t>
        </is>
      </c>
    </row>
    <row r="4">
      <c r="A4" s="3" t="inlineStr">
        <is>
          <t>Paramètre</t>
        </is>
      </c>
      <c r="B4" s="3" t="inlineStr">
        <is>
          <t>Valeur</t>
        </is>
      </c>
      <c r="C4" s="3" t="inlineStr">
        <is>
          <t>Unité</t>
        </is>
      </c>
      <c r="D4" s="3" t="inlineStr">
        <is>
          <t>Remarque</t>
        </is>
      </c>
    </row>
    <row r="5">
      <c r="A5" s="4" t="inlineStr">
        <is>
          <t>Nombre d'habitants</t>
        </is>
      </c>
      <c r="B5" s="5" t="n">
        <v>6</v>
      </c>
      <c r="C5" s="4" t="inlineStr">
        <is>
          <t>habitants</t>
        </is>
      </c>
      <c r="D5" s="4" t="inlineStr">
        <is>
          <t>Fourchette envisagée : 5 à 7</t>
        </is>
      </c>
    </row>
    <row r="6">
      <c r="A6" s="4" t="inlineStr">
        <is>
          <t>Habitants éligibles à l'AVP</t>
        </is>
      </c>
      <c r="B6" s="5" t="n">
        <v>4</v>
      </c>
      <c r="C6" s="4" t="inlineStr">
        <is>
          <t>habitants</t>
        </is>
      </c>
      <c r="D6" s="4" t="inlineStr">
        <is>
          <t>65 ans et plus ou handicap reconnu ; à confirmer auprès du Département</t>
        </is>
      </c>
    </row>
    <row r="7">
      <c r="A7" s="4" t="inlineStr">
        <is>
          <t>AVP par habitant éligible et par an</t>
        </is>
      </c>
      <c r="B7" s="6" t="n">
        <v>5000</v>
      </c>
      <c r="C7" s="4" t="inlineStr">
        <is>
          <t>€</t>
        </is>
      </c>
      <c r="D7" s="4" t="inlineStr">
        <is>
          <t>Socle indicatif CNSA cité dans des documents ; fourchette 3 000 à 10 000 €. Barème marnais à confirmer</t>
        </is>
      </c>
    </row>
    <row r="8">
      <c r="A8" s="4" t="inlineStr">
        <is>
          <t>Loyer mensuel par habitant (hors charges)</t>
        </is>
      </c>
      <c r="B8" s="6" t="n">
        <v>450</v>
      </c>
      <c r="C8" s="4" t="inlineStr">
        <is>
          <t>€</t>
        </is>
      </c>
      <c r="D8" s="4" t="inlineStr">
        <is>
          <t>Illustratif : à remplacer par le loyer visé / conventionné</t>
        </is>
      </c>
    </row>
    <row r="9">
      <c r="A9" s="4" t="inlineStr">
        <is>
          <t>Charges mensuelles par habitant</t>
        </is>
      </c>
      <c r="B9" s="6" t="n">
        <v>120</v>
      </c>
      <c r="C9" s="4" t="inlineStr">
        <is>
          <t>€</t>
        </is>
      </c>
      <c r="D9" s="4" t="inlineStr">
        <is>
          <t>Illustratif : chauffage, eau, électricité, internet</t>
        </is>
      </c>
    </row>
    <row r="10">
      <c r="A10" s="4" t="inlineStr">
        <is>
          <t>Coût annuel de l'animateur (temps partiel, chargé)</t>
        </is>
      </c>
      <c r="B10" s="6" t="n">
        <v>18000</v>
      </c>
      <c r="C10" s="4" t="inlineStr">
        <is>
          <t>€</t>
        </is>
      </c>
      <c r="D10" s="4" t="inlineStr">
        <is>
          <t>Illustratif : à calculer selon la convention collective et le temps de travail</t>
        </is>
      </c>
    </row>
    <row r="11">
      <c r="A11" s="4" t="inlineStr">
        <is>
          <t>Frais de fonctionnement de l'association par an</t>
        </is>
      </c>
      <c r="B11" s="6" t="n">
        <v>4000</v>
      </c>
      <c r="C11" s="4" t="inlineStr">
        <is>
          <t>€</t>
        </is>
      </c>
      <c r="D11" s="4" t="inlineStr">
        <is>
          <t>Illustratif : assurance, comptabilité, cotisations, formation</t>
        </is>
      </c>
    </row>
    <row r="12">
      <c r="A12" s="4" t="inlineStr">
        <is>
          <t>Budget annuel d'activités partagées</t>
        </is>
      </c>
      <c r="B12" s="6" t="n">
        <v>1500</v>
      </c>
      <c r="C12" s="4" t="inlineStr">
        <is>
          <t>€</t>
        </is>
      </c>
      <c r="D12" s="4" t="inlineStr">
        <is>
          <t>Illustratif : repas partagés, sorties, matériel</t>
        </is>
      </c>
    </row>
    <row r="13">
      <c r="A13" s="4" t="inlineStr">
        <is>
          <t>Participation volontaire des habitants aux activités / mois / habitant</t>
        </is>
      </c>
      <c r="B13" s="6" t="n">
        <v>15</v>
      </c>
      <c r="C13" s="4" t="inlineStr">
        <is>
          <t>€</t>
        </is>
      </c>
      <c r="D13" s="4" t="inlineStr">
        <is>
          <t>Illustratif : optionnel</t>
        </is>
      </c>
    </row>
    <row r="14">
      <c r="A14" s="4" t="inlineStr">
        <is>
          <t>Prix d'acquisition + travaux de la maison</t>
        </is>
      </c>
      <c r="B14" s="6" t="n">
        <v>300000</v>
      </c>
      <c r="C14" s="4" t="inlineStr">
        <is>
          <t>€</t>
        </is>
      </c>
      <c r="D14" s="4" t="inlineStr">
        <is>
          <t>Illustratif : à remplacer</t>
        </is>
      </c>
    </row>
    <row r="15">
      <c r="A15" s="4" t="inlineStr">
        <is>
          <t>Subvention d'investissement CNSA (via Département)</t>
        </is>
      </c>
      <c r="B15" s="6" t="n">
        <v>0</v>
      </c>
      <c r="C15" s="4" t="inlineStr">
        <is>
          <t>€</t>
        </is>
      </c>
      <c r="D15" s="4" t="inlineStr">
        <is>
          <t>Plafond 2026 : 150 000 € par habitat, sous réserve de programmation AVP. Mettre 0 tant que non acquis</t>
        </is>
      </c>
    </row>
    <row r="16">
      <c r="A16" s="4" t="inlineStr">
        <is>
          <t>Autres subventions (Anah, collectivité, fondation)</t>
        </is>
      </c>
      <c r="B16" s="6" t="n">
        <v>0</v>
      </c>
      <c r="C16" s="4" t="inlineStr">
        <is>
          <t>€</t>
        </is>
      </c>
      <c r="D16" s="4" t="inlineStr">
        <is>
          <t>Mettre 0 tant que non acquis</t>
        </is>
      </c>
    </row>
    <row r="17">
      <c r="A17" s="4" t="inlineStr">
        <is>
          <t>Apport / fonds propres</t>
        </is>
      </c>
      <c r="B17" s="6" t="n">
        <v>0</v>
      </c>
      <c r="C17" s="4" t="inlineStr">
        <is>
          <t>€</t>
        </is>
      </c>
      <c r="D17" s="4" t="inlineStr">
        <is>
          <t>Aucun apport à ce stade</t>
        </is>
      </c>
    </row>
    <row r="18">
      <c r="A18" s="4" t="inlineStr">
        <is>
          <t>Taux du prêt</t>
        </is>
      </c>
      <c r="B18" s="7" t="n">
        <v>0.04</v>
      </c>
      <c r="C18" s="4" t="inlineStr"/>
      <c r="D18" s="4" t="inlineStr">
        <is>
          <t>Illustratif</t>
        </is>
      </c>
    </row>
    <row r="19">
      <c r="A19" s="4" t="inlineStr">
        <is>
          <t>Durée du prêt</t>
        </is>
      </c>
      <c r="B19" s="5" t="n">
        <v>25</v>
      </c>
      <c r="C19" s="4" t="inlineStr">
        <is>
          <t>ans</t>
        </is>
      </c>
      <c r="D19" s="4" t="inlineStr">
        <is>
          <t>Illustratif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70" customWidth="1" min="3" max="3"/>
  </cols>
  <sheetData>
    <row r="1">
      <c r="A1" s="8" t="inlineStr">
        <is>
          <t>Budget annuel de l'association porteuse (le propriétaire est traité séparément)</t>
        </is>
      </c>
    </row>
    <row r="3">
      <c r="A3" s="3" t="inlineStr">
        <is>
          <t>Ligne</t>
        </is>
      </c>
      <c r="B3" s="3" t="inlineStr">
        <is>
          <t>Montant annuel (€)</t>
        </is>
      </c>
      <c r="C3" s="3" t="inlineStr">
        <is>
          <t>Commentaire</t>
        </is>
      </c>
    </row>
    <row r="4">
      <c r="A4" s="3" t="inlineStr">
        <is>
          <t>RECETTES</t>
        </is>
      </c>
      <c r="B4" s="9" t="n"/>
      <c r="C4" s="9" t="n"/>
    </row>
    <row r="5">
      <c r="A5" s="9" t="inlineStr">
        <is>
          <t>AVP (habitants éligibles × montant)</t>
        </is>
      </c>
      <c r="B5" s="10">
        <f>Hypothèses!$B$6*Hypothèses!$B$7</f>
        <v/>
      </c>
      <c r="C5" s="9" t="inlineStr">
        <is>
          <t>Perçue par l'association si le projet est programmé par le Département</t>
        </is>
      </c>
    </row>
    <row r="6">
      <c r="A6" s="9" t="inlineStr">
        <is>
          <t>Participations volontaires des habitants</t>
        </is>
      </c>
      <c r="B6" s="10">
        <f>Hypothèses!$B$5*Hypothèses!$B$13*12</f>
        <v/>
      </c>
      <c r="C6" s="9" t="inlineStr">
        <is>
          <t>Optionnel</t>
        </is>
      </c>
    </row>
    <row r="7">
      <c r="A7" s="11" t="inlineStr">
        <is>
          <t>Total recettes</t>
        </is>
      </c>
      <c r="B7" s="12">
        <f>B5+B6</f>
        <v/>
      </c>
      <c r="C7" s="9" t="inlineStr"/>
    </row>
    <row r="8">
      <c r="A8" s="3" t="inlineStr">
        <is>
          <t>DÉPENSES</t>
        </is>
      </c>
      <c r="B8" s="9" t="n"/>
      <c r="C8" s="9" t="n"/>
    </row>
    <row r="9">
      <c r="A9" s="9" t="inlineStr">
        <is>
          <t>Animateur (chargé)</t>
        </is>
      </c>
      <c r="B9" s="10">
        <f>Hypothèses!$B$10</f>
        <v/>
      </c>
      <c r="C9" s="9" t="inlineStr"/>
    </row>
    <row r="10">
      <c r="A10" s="9" t="inlineStr">
        <is>
          <t>Fonctionnement de l'association</t>
        </is>
      </c>
      <c r="B10" s="10">
        <f>Hypothèses!$B$11</f>
        <v/>
      </c>
      <c r="C10" s="9" t="inlineStr"/>
    </row>
    <row r="11">
      <c r="A11" s="9" t="inlineStr">
        <is>
          <t>Activités partagées</t>
        </is>
      </c>
      <c r="B11" s="10">
        <f>Hypothèses!$B$12</f>
        <v/>
      </c>
      <c r="C11" s="9" t="inlineStr"/>
    </row>
    <row r="12">
      <c r="A12" s="11" t="inlineStr">
        <is>
          <t>Total dépenses</t>
        </is>
      </c>
      <c r="B12" s="12">
        <f>B9+B10+B11</f>
        <v/>
      </c>
      <c r="C12" s="9" t="inlineStr"/>
    </row>
    <row r="13">
      <c r="A13" s="11" t="inlineStr">
        <is>
          <t>RÉSULTAT (recettes − dépenses)</t>
        </is>
      </c>
      <c r="B13" s="12">
        <f>B7-B12</f>
        <v/>
      </c>
      <c r="C13" s="9" t="inlineStr">
        <is>
          <t>Doit être ≥ 0 pour être soutenable</t>
        </is>
      </c>
    </row>
    <row r="14">
      <c r="A14" s="9" t="inlineStr">
        <is>
          <t>Couverture des dépenses par l'AVP seule</t>
        </is>
      </c>
      <c r="B14" s="13">
        <f>IF(B12=0,0,B5/B12)</f>
        <v/>
      </c>
      <c r="C14" s="9" t="inlineStr">
        <is>
          <t>100 % = l'AVP finance toute l'animation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8" customWidth="1" min="4" max="4"/>
    <col width="18" customWidth="1" min="5" max="5"/>
  </cols>
  <sheetData>
    <row r="1">
      <c r="A1" s="8" t="inlineStr">
        <is>
          <t>Sensibilité : nombre d'habitants éligibles à l'AVP (autres hypothèses inchangées)</t>
        </is>
      </c>
    </row>
    <row r="3">
      <c r="A3" s="3" t="inlineStr">
        <is>
          <t>Habitants éligibles</t>
        </is>
      </c>
      <c r="B3" s="3" t="inlineStr">
        <is>
          <t>AVP annuelle (€)</t>
        </is>
      </c>
      <c r="C3" s="3" t="inlineStr">
        <is>
          <t>Dépenses annuelles (€)</t>
        </is>
      </c>
      <c r="D3" s="3" t="inlineStr">
        <is>
          <t>Résultat (€)</t>
        </is>
      </c>
      <c r="E3" s="3" t="inlineStr">
        <is>
          <t>Couverture AVP</t>
        </is>
      </c>
    </row>
    <row r="4">
      <c r="A4" s="9" t="n">
        <v>0</v>
      </c>
      <c r="B4" s="10">
        <f>A4*Hypothèses!$B$7</f>
        <v/>
      </c>
      <c r="C4" s="10">
        <f>'Budget annuel'!$B$12</f>
        <v/>
      </c>
      <c r="D4" s="10">
        <f>B4+'Budget annuel'!$B$6-C4</f>
        <v/>
      </c>
      <c r="E4" s="13">
        <f>IF(C4=0,0,B4/C4)</f>
        <v/>
      </c>
    </row>
    <row r="5">
      <c r="A5" s="9" t="n">
        <v>1</v>
      </c>
      <c r="B5" s="10">
        <f>A5*Hypothèses!$B$7</f>
        <v/>
      </c>
      <c r="C5" s="10">
        <f>'Budget annuel'!$B$12</f>
        <v/>
      </c>
      <c r="D5" s="10">
        <f>B5+'Budget annuel'!$B$6-C5</f>
        <v/>
      </c>
      <c r="E5" s="13">
        <f>IF(C5=0,0,B5/C5)</f>
        <v/>
      </c>
    </row>
    <row r="6">
      <c r="A6" s="9" t="n">
        <v>2</v>
      </c>
      <c r="B6" s="10">
        <f>A6*Hypothèses!$B$7</f>
        <v/>
      </c>
      <c r="C6" s="10">
        <f>'Budget annuel'!$B$12</f>
        <v/>
      </c>
      <c r="D6" s="10">
        <f>B6+'Budget annuel'!$B$6-C6</f>
        <v/>
      </c>
      <c r="E6" s="13">
        <f>IF(C6=0,0,B6/C6)</f>
        <v/>
      </c>
    </row>
    <row r="7">
      <c r="A7" s="9" t="n">
        <v>3</v>
      </c>
      <c r="B7" s="10">
        <f>A7*Hypothèses!$B$7</f>
        <v/>
      </c>
      <c r="C7" s="10">
        <f>'Budget annuel'!$B$12</f>
        <v/>
      </c>
      <c r="D7" s="10">
        <f>B7+'Budget annuel'!$B$6-C7</f>
        <v/>
      </c>
      <c r="E7" s="13">
        <f>IF(C7=0,0,B7/C7)</f>
        <v/>
      </c>
    </row>
    <row r="8">
      <c r="A8" s="9" t="n">
        <v>4</v>
      </c>
      <c r="B8" s="10">
        <f>A8*Hypothèses!$B$7</f>
        <v/>
      </c>
      <c r="C8" s="10">
        <f>'Budget annuel'!$B$12</f>
        <v/>
      </c>
      <c r="D8" s="10">
        <f>B8+'Budget annuel'!$B$6-C8</f>
        <v/>
      </c>
      <c r="E8" s="13">
        <f>IF(C8=0,0,B8/C8)</f>
        <v/>
      </c>
    </row>
    <row r="9">
      <c r="A9" s="9" t="n">
        <v>5</v>
      </c>
      <c r="B9" s="10">
        <f>A9*Hypothèses!$B$7</f>
        <v/>
      </c>
      <c r="C9" s="10">
        <f>'Budget annuel'!$B$12</f>
        <v/>
      </c>
      <c r="D9" s="10">
        <f>B9+'Budget annuel'!$B$6-C9</f>
        <v/>
      </c>
      <c r="E9" s="13">
        <f>IF(C9=0,0,B9/C9)</f>
        <v/>
      </c>
    </row>
    <row r="10">
      <c r="A10" s="9" t="n">
        <v>6</v>
      </c>
      <c r="B10" s="10">
        <f>A10*Hypothèses!$B$7</f>
        <v/>
      </c>
      <c r="C10" s="10">
        <f>'Budget annuel'!$B$12</f>
        <v/>
      </c>
      <c r="D10" s="10">
        <f>B10+'Budget annuel'!$B$6-C10</f>
        <v/>
      </c>
      <c r="E10" s="13">
        <f>IF(C10=0,0,B10/C10)</f>
        <v/>
      </c>
    </row>
    <row r="11">
      <c r="A11" s="9" t="n">
        <v>7</v>
      </c>
      <c r="B11" s="10">
        <f>A11*Hypothèses!$B$7</f>
        <v/>
      </c>
      <c r="C11" s="10">
        <f>'Budget annuel'!$B$12</f>
        <v/>
      </c>
      <c r="D11" s="10">
        <f>B11+'Budget annuel'!$B$6-C11</f>
        <v/>
      </c>
      <c r="E11" s="13">
        <f>IF(C11=0,0,B11/C11)</f>
        <v/>
      </c>
    </row>
    <row r="13" ht="35" customHeight="1">
      <c r="A13" s="2" t="inlineStr">
        <is>
          <t>Lecture : au-delà d'une couverture de 100 %, l'AVP finance toute l'animation. Le tableau suppose le montant d'AVP par éligible de l'onglet Hypothèses.</t>
        </is>
      </c>
    </row>
  </sheetData>
  <mergeCells count="1"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80" customWidth="1" min="3" max="3"/>
  </cols>
  <sheetData>
    <row r="1">
      <c r="A1" s="8" t="inlineStr">
        <is>
          <t>Plan de financement de l'immobilier (côté propriétaire)</t>
        </is>
      </c>
    </row>
    <row r="3">
      <c r="A3" s="3" t="inlineStr">
        <is>
          <t>Ligne</t>
        </is>
      </c>
      <c r="B3" s="3" t="inlineStr">
        <is>
          <t>Montant (€)</t>
        </is>
      </c>
      <c r="C3" s="3" t="inlineStr">
        <is>
          <t>Commentaire</t>
        </is>
      </c>
    </row>
    <row r="4">
      <c r="A4" s="9" t="inlineStr">
        <is>
          <t>Besoin total (acquisition + travaux)</t>
        </is>
      </c>
      <c r="B4" s="10">
        <f>Hypothèses!$B$14</f>
        <v/>
      </c>
      <c r="C4" s="9" t="inlineStr"/>
    </row>
    <row r="5">
      <c r="A5" s="9" t="inlineStr">
        <is>
          <t>Subvention CNSA via le Département</t>
        </is>
      </c>
      <c r="B5" s="10">
        <f>Hypothèses!$B$15</f>
        <v/>
      </c>
      <c r="C5" s="9" t="inlineStr">
        <is>
          <t>Plafond 2026 : 150 000 € par habitat ; non acquis tant que le projet n'est pas programmé</t>
        </is>
      </c>
    </row>
    <row r="6">
      <c r="A6" s="9" t="inlineStr">
        <is>
          <t>Autres subventions</t>
        </is>
      </c>
      <c r="B6" s="10">
        <f>Hypothèses!$B$16</f>
        <v/>
      </c>
      <c r="C6" s="9" t="inlineStr"/>
    </row>
    <row r="7">
      <c r="A7" s="9" t="inlineStr">
        <is>
          <t>Apport / fonds propres</t>
        </is>
      </c>
      <c r="B7" s="10">
        <f>Hypothèses!$B$17</f>
        <v/>
      </c>
      <c r="C7" s="9" t="inlineStr"/>
    </row>
    <row r="8">
      <c r="A8" s="9" t="inlineStr">
        <is>
          <t>Emprunt à financer</t>
        </is>
      </c>
      <c r="B8" s="10">
        <f>B4-B5-B6-B7</f>
        <v/>
      </c>
      <c r="C8" s="9" t="inlineStr"/>
    </row>
    <row r="9">
      <c r="A9" s="9" t="inlineStr">
        <is>
          <t>Mensualité du prêt (estimation)</t>
        </is>
      </c>
      <c r="B9" s="10">
        <f>IF(B8&lt;=0,0,PMT(Hypothèses!$B$18/12,Hypothèses!$B$19*12,-B8))</f>
        <v/>
      </c>
      <c r="C9" s="9" t="inlineStr">
        <is>
          <t>Formule PMT, hors assurance et frais</t>
        </is>
      </c>
    </row>
    <row r="10">
      <c r="A10" s="9" t="inlineStr">
        <is>
          <t>Loyers perçus par an (tous habitants)</t>
        </is>
      </c>
      <c r="B10" s="10">
        <f>Hypothèses!$B$5*Hypothèses!$B$8*12</f>
        <v/>
      </c>
      <c r="C10" s="9" t="inlineStr">
        <is>
          <t>Loyer hors charges</t>
        </is>
      </c>
    </row>
    <row r="11">
      <c r="A11" s="9" t="inlineStr">
        <is>
          <t>Mensualités annuelles</t>
        </is>
      </c>
      <c r="B11" s="10">
        <f>B9*12</f>
        <v/>
      </c>
      <c r="C11" s="9" t="inlineStr"/>
    </row>
    <row r="12">
      <c r="A12" s="9" t="inlineStr">
        <is>
          <t>Écart loyers − mensualités</t>
        </is>
      </c>
      <c r="B12" s="10">
        <f>B10-B11</f>
        <v/>
      </c>
      <c r="C12" s="9" t="inlineStr">
        <is>
          <t>Doit couvrir aussi taxe foncière, entretien, vacance : non comptés 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2026-10-23T12:11:56Z</dcterms:created>
  <dcterms:modified xmlns:dcterms="http://purl.org/dc/terms/" xmlns:xsi="http://www.w3.org/2001/XMLSchema-instance" xsi:type="dcterms:W3CDTF">2026-10-23T12:11:56Z</dcterms:modified>
</cp:coreProperties>
</file>