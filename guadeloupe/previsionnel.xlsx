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gende" sheetId="1" state="visible" r:id="rId1"/>
    <sheet name="Hypothèses" sheetId="2" state="visible" r:id="rId2"/>
    <sheet name="Scénarios" sheetId="3" state="visible" r:id="rId3"/>
    <sheet name="Montée en charge" sheetId="4" state="visible" r:id="rId4"/>
    <sheet name="Démarrage et financ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(#,##0 &quot;€&quot;);-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2" fillId="0" borderId="0" pivotButton="0" quotePrefix="0" xfId="0"/>
    <xf numFmtId="164" fontId="5" fillId="3" borderId="0" pivotButton="0" quotePrefix="0" xfId="0"/>
    <xf numFmtId="164" fontId="5" fillId="0" borderId="0" pivotButton="0" quotePrefix="0" xfId="0"/>
    <xf numFmtId="165" fontId="5" fillId="0" borderId="0" pivotButton="0" quotePrefix="0" xfId="0"/>
    <xf numFmtId="1" fontId="5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9" fontId="5" fillId="3" borderId="0" pivotButton="0" quotePrefix="0" xfId="0"/>
    <xf numFmtId="164" fontId="6" fillId="0" borderId="0" pivotButton="0" quotePrefix="0" xfId="0"/>
    <xf numFmtId="164" fontId="3" fillId="0" borderId="0" pivotButton="0" quotePrefix="0" xfId="0"/>
    <xf numFmtId="164" fontId="2" fillId="0" borderId="0" pivotButton="0" quotePrefix="0" xfId="0"/>
    <xf numFmtId="164" fontId="3" fillId="4" borderId="0" pivotButton="0" quotePrefix="0" xfId="0"/>
    <xf numFmtId="1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Prévisionnel</author>
  </authors>
  <commentList>
    <comment ref="B4" authorId="0" shapeId="0">
      <text>
        <t>Annonces de location en Guadeloupe : maisons de 4 pièces de 900 à 2 500 €/mois.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Prévisionnel : habitat inclusif en Guadeloupe (DMS)</t>
        </is>
      </c>
    </row>
    <row r="3">
      <c r="A3" s="2" t="inlineStr">
        <is>
          <t>Document de travail. Tous les chiffres sont des HYPOTHÈSES à remplacer ; ils ne sont ni vérifiés ni validés par un expert-comptable.</t>
        </is>
      </c>
    </row>
    <row r="4">
      <c r="A4" s="2" t="inlineStr"/>
    </row>
    <row r="5">
      <c r="A5" s="3" t="inlineStr">
        <is>
          <t>Comment l'utiliser</t>
        </is>
      </c>
    </row>
    <row r="6">
      <c r="A6" s="2" t="inlineStr">
        <is>
          <t>1. Onglet « Hypothèses » : modifie les cellules en bleu (texte bleu). Les cellules jaunes sont les hypothèses clés (AVP, loyer, animateur).</t>
        </is>
      </c>
    </row>
    <row r="7">
      <c r="A7" s="2" t="inlineStr">
        <is>
          <t>2. Onglet « Scénarios » : 4 scénarios prêts + une colonne « Mon scénario » à remplir (cellules bleues).</t>
        </is>
      </c>
    </row>
    <row r="8">
      <c r="A8" s="2" t="inlineStr">
        <is>
          <t>3. Onglet « Montée en charge » : 6 premiers mois après l'ouverture (nombre d'habitants par mois en bleu).</t>
        </is>
      </c>
    </row>
    <row r="9">
      <c r="A9" s="2" t="inlineStr">
        <is>
          <t>4. Onglet « Démarrage et financement » : budget de départ, prêts, remboursements.</t>
        </is>
      </c>
    </row>
    <row r="10">
      <c r="A10" s="2" t="inlineStr"/>
    </row>
    <row r="11">
      <c r="A11" s="3" t="inlineStr">
        <is>
          <t>Code couleur</t>
        </is>
      </c>
    </row>
    <row r="12">
      <c r="A12" s="2" t="inlineStr">
        <is>
          <t>Bleu = valeur saisie à modifier · Noir = formule (ne pas écraser) · Vert = lien vers un autre onglet · Jaune = hypothèse clé.</t>
        </is>
      </c>
    </row>
    <row r="13">
      <c r="A13" s="2" t="inlineStr"/>
    </row>
    <row r="14">
      <c r="A14" s="3" t="inlineStr">
        <is>
          <t>Sources des hypothèses</t>
        </is>
      </c>
    </row>
    <row r="15">
      <c r="A15" s="2" t="inlineStr">
        <is>
          <t>Loyer de la maison : annonces de location en Guadeloupe (maisons de 4 pièces de 900 à 2 500 €/mois selon la commune).</t>
        </is>
      </c>
    </row>
    <row r="16">
      <c r="A16" s="2" t="inlineStr">
        <is>
          <t>AVP : plafond national de 10 000 € par an et par habitant ; le Département de la Guadeloupe y consacre 50 000 € en 2026 (enveloppe globale) et finance les travaux jusqu'à 150 000 € par habitat ; le montant par habitant n'est PAS vérifié.</t>
        </is>
      </c>
    </row>
    <row r="17">
      <c r="A17" s="2" t="inlineStr">
        <is>
          <t>Besoin : seuls 1 % des personnes âgées de Guadeloupe sont accueillies en structure spécialisée, contre 9,5 % dans l'Hexagone (Insee).</t>
        </is>
      </c>
    </row>
    <row r="18">
      <c r="A18" s="2" t="inlineStr">
        <is>
          <t>Charges, entretien, assurance, gestion à distance, coût de l'animateur, loyer par habitant, mobilier, séjour sur place : hypothèses de travail sans source.</t>
        </is>
      </c>
    </row>
    <row r="19">
      <c r="A19" s="2" t="inlineStr">
        <is>
          <t>Prêt d'honneur Initiative Guadeloupe : 5 000 à 30 000 €, taux zéro, sans garantie (à confirmer).</t>
        </is>
      </c>
    </row>
    <row r="20">
      <c r="A20" s="2" t="inlineStr"/>
    </row>
    <row r="21">
      <c r="A21" s="3" t="inlineStr">
        <is>
          <t>Limites</t>
        </is>
      </c>
    </row>
    <row r="22">
      <c r="A22" s="2" t="inlineStr">
        <is>
          <t>Ce modèle ne comprend pas les travaux importants, l'impôt, la TVA, ni les subventions éventuelles du Département.</t>
        </is>
      </c>
    </row>
    <row r="23">
      <c r="A23" s="2" t="inlineStr">
        <is>
          <t>Les prestations facturées par DMS aux habitants ne sont PAS dans le résultat de l'habitat : elles figurent à part (ligne « Marge DMS potentielle »).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60" customWidth="1" min="4" max="4"/>
  </cols>
  <sheetData>
    <row r="1">
      <c r="A1" s="1" t="inlineStr">
        <is>
          <t>Hypothèses</t>
        </is>
      </c>
    </row>
    <row r="3">
      <c r="A3" s="4" t="inlineStr">
        <is>
          <t>Libellé</t>
        </is>
      </c>
      <c r="B3" s="4" t="inlineStr">
        <is>
          <t>Valeur</t>
        </is>
      </c>
      <c r="C3" s="4" t="inlineStr">
        <is>
          <t>Unité</t>
        </is>
      </c>
      <c r="D3" s="4" t="inlineStr">
        <is>
          <t>Source / commentaire</t>
        </is>
      </c>
    </row>
    <row r="4">
      <c r="A4" s="5" t="inlineStr">
        <is>
          <t>Loyer de la maison</t>
        </is>
      </c>
      <c r="B4" s="6" t="n">
        <v>1800</v>
      </c>
      <c r="C4" s="5" t="inlineStr">
        <is>
          <t>€/mois</t>
        </is>
      </c>
      <c r="D4" s="5" t="inlineStr">
        <is>
          <t>Annonces Guadeloupe : maisons de 4 pièces de 900 à 2 500 €</t>
        </is>
      </c>
    </row>
    <row r="5">
      <c r="A5" s="5" t="inlineStr">
        <is>
          <t>Charges (eau, électricité, internet)</t>
        </is>
      </c>
      <c r="B5" s="7" t="n">
        <v>450</v>
      </c>
      <c r="C5" s="5" t="inlineStr">
        <is>
          <t>€/mois</t>
        </is>
      </c>
      <c r="D5" s="5" t="inlineStr">
        <is>
          <t>Hypothèse</t>
        </is>
      </c>
    </row>
    <row r="6">
      <c r="A6" s="5" t="inlineStr">
        <is>
          <t>Entretien et petites réparations</t>
        </is>
      </c>
      <c r="B6" s="7" t="n">
        <v>150</v>
      </c>
      <c r="C6" s="5" t="inlineStr">
        <is>
          <t>€/mois</t>
        </is>
      </c>
      <c r="D6" s="5" t="inlineStr">
        <is>
          <t>Hypothèse</t>
        </is>
      </c>
    </row>
    <row r="7">
      <c r="A7" s="5" t="inlineStr">
        <is>
          <t>Assurance (multirisque, responsabilité civile)</t>
        </is>
      </c>
      <c r="B7" s="7" t="n">
        <v>80</v>
      </c>
      <c r="C7" s="5" t="inlineStr">
        <is>
          <t>€/mois</t>
        </is>
      </c>
      <c r="D7" s="5" t="inlineStr">
        <is>
          <t>Hypothèse</t>
        </is>
      </c>
    </row>
    <row r="8">
      <c r="A8" s="5" t="inlineStr">
        <is>
          <t>Comptabilité, frais de structure et gestion à distance (voyages, gestionnaire local)</t>
        </is>
      </c>
      <c r="B8" s="7" t="n">
        <v>400</v>
      </c>
      <c r="C8" s="5" t="inlineStr">
        <is>
          <t>€/mois</t>
        </is>
      </c>
      <c r="D8" s="5" t="inlineStr">
        <is>
          <t>Hypothèse : 100 € de comptabilité + 300 € de gestion à distance</t>
        </is>
      </c>
    </row>
    <row r="9">
      <c r="A9" s="5" t="inlineStr">
        <is>
          <t>Coût animateur(trice) à temps plein, chargé</t>
        </is>
      </c>
      <c r="B9" s="6" t="n">
        <v>2300</v>
      </c>
      <c r="C9" s="5" t="inlineStr">
        <is>
          <t>€/mois</t>
        </is>
      </c>
      <c r="D9" s="5" t="inlineStr">
        <is>
          <t>Hypothèse (à vérifier selon convention collective)</t>
        </is>
      </c>
    </row>
    <row r="10">
      <c r="A10" s="5" t="inlineStr">
        <is>
          <t>Loyer + charges payés par chaque habitant</t>
        </is>
      </c>
      <c r="B10" s="6" t="n">
        <v>750</v>
      </c>
      <c r="C10" s="5" t="inlineStr">
        <is>
          <t>€/mois</t>
        </is>
      </c>
      <c r="D10" s="5" t="inlineStr">
        <is>
          <t>Hypothèse (hors repas et aide à domicile)</t>
        </is>
      </c>
    </row>
    <row r="11">
      <c r="A11" s="5" t="inlineStr">
        <is>
          <t>Taux annuel du prêt bancaire</t>
        </is>
      </c>
      <c r="B11" s="8" t="n">
        <v>0.05</v>
      </c>
      <c r="C11" s="5" t="inlineStr">
        <is>
          <t>%</t>
        </is>
      </c>
      <c r="D11" s="5" t="inlineStr">
        <is>
          <t>Hypothèse</t>
        </is>
      </c>
    </row>
    <row r="12">
      <c r="A12" s="5" t="inlineStr">
        <is>
          <t>Durée du prêt bancaire</t>
        </is>
      </c>
      <c r="B12" s="9" t="n">
        <v>5</v>
      </c>
      <c r="C12" s="5" t="inlineStr">
        <is>
          <t>ans</t>
        </is>
      </c>
      <c r="D12" s="5" t="inlineStr">
        <is>
          <t>Hypothèse</t>
        </is>
      </c>
    </row>
    <row r="13">
      <c r="A13" s="5" t="inlineStr">
        <is>
          <t>Durée du prêt d'honneur</t>
        </is>
      </c>
      <c r="B13" s="9" t="n">
        <v>5</v>
      </c>
      <c r="C13" s="5" t="inlineStr">
        <is>
          <t>ans</t>
        </is>
      </c>
      <c r="D13" s="5" t="inlineStr">
        <is>
          <t>Prêt d'honneur remboursé sur 3 à 5 ans</t>
        </is>
      </c>
    </row>
    <row r="14">
      <c r="A14" s="5" t="inlineStr">
        <is>
          <t>Marge de DMS sur ses prestations aux habitants</t>
        </is>
      </c>
      <c r="B14" s="8" t="n">
        <v>0.25</v>
      </c>
      <c r="C14" s="5" t="inlineStr">
        <is>
          <t>%</t>
        </is>
      </c>
      <c r="D14" s="5" t="inlineStr">
        <is>
          <t>Hypothèse</t>
        </is>
      </c>
    </row>
    <row r="15">
      <c r="A15" s="5" t="inlineStr">
        <is>
          <t>Achat mensuel de prestations DMS par habitant</t>
        </is>
      </c>
      <c r="B15" s="7" t="n">
        <v>300</v>
      </c>
      <c r="C15" s="5" t="inlineStr">
        <is>
          <t>€/mois</t>
        </is>
      </c>
      <c r="D15" s="5" t="inlineStr">
        <is>
          <t>Hypothèse ; libre choix de l'habitant</t>
        </is>
      </c>
    </row>
    <row r="17">
      <c r="A17" s="10" t="inlineStr">
        <is>
          <t>Budget de démarrage</t>
        </is>
      </c>
    </row>
    <row r="18">
      <c r="A18" s="4" t="inlineStr">
        <is>
          <t>Libellé</t>
        </is>
      </c>
      <c r="B18" s="4" t="inlineStr">
        <is>
          <t>Valeur</t>
        </is>
      </c>
      <c r="C18" s="4" t="inlineStr">
        <is>
          <t>Unité</t>
        </is>
      </c>
      <c r="D18" s="4" t="inlineStr">
        <is>
          <t>Source / commentaire</t>
        </is>
      </c>
    </row>
    <row r="19">
      <c r="A19" s="5" t="inlineStr">
        <is>
          <t>Dépôt de garantie + premier loyer (en mois de loyer)</t>
        </is>
      </c>
      <c r="B19" s="9" t="n">
        <v>2</v>
      </c>
      <c r="C19" s="5" t="inlineStr">
        <is>
          <t>mois</t>
        </is>
      </c>
      <c r="D19" s="5" t="inlineStr">
        <is>
          <t>Hypothèse</t>
        </is>
      </c>
    </row>
    <row r="20">
      <c r="A20" s="5" t="inlineStr">
        <is>
          <t>Mobilier et équipement (4 chambres + espaces communs)</t>
        </is>
      </c>
      <c r="B20" s="7" t="n">
        <v>6000</v>
      </c>
      <c r="C20" s="5" t="inlineStr">
        <is>
          <t>€</t>
        </is>
      </c>
      <c r="D20" s="5" t="inlineStr">
        <is>
          <t>Hypothèse (4 000 à 8 000 €)</t>
        </is>
      </c>
    </row>
    <row r="21">
      <c r="A21" s="5" t="inlineStr">
        <is>
          <t>Petites adaptations (barres d'appui, éclairage, douche)</t>
        </is>
      </c>
      <c r="B21" s="7" t="n">
        <v>2500</v>
      </c>
      <c r="C21" s="5" t="inlineStr">
        <is>
          <t>€</t>
        </is>
      </c>
      <c r="D21" s="5" t="inlineStr">
        <is>
          <t>Hypothèse</t>
        </is>
      </c>
    </row>
    <row r="22">
      <c r="A22" s="5" t="inlineStr">
        <is>
          <t>Création de la structure dédiée et frais juridiques</t>
        </is>
      </c>
      <c r="B22" s="7" t="n">
        <v>800</v>
      </c>
      <c r="C22" s="5" t="inlineStr">
        <is>
          <t>€</t>
        </is>
      </c>
      <c r="D22" s="5" t="inlineStr">
        <is>
          <t>Hypothèse</t>
        </is>
      </c>
    </row>
    <row r="23">
      <c r="A23" s="5" t="inlineStr">
        <is>
          <t>Assurances de la première année (payées d'avance)</t>
        </is>
      </c>
      <c r="B23" s="7" t="n">
        <v>1000</v>
      </c>
      <c r="C23" s="5" t="inlineStr">
        <is>
          <t>€</t>
        </is>
      </c>
      <c r="D23" s="5" t="inlineStr">
        <is>
          <t>Hypothèse</t>
        </is>
      </c>
    </row>
    <row r="24">
      <c r="A24" s="5" t="inlineStr">
        <is>
          <t>Communication, recherche d'habitants et séjour sur place (1 mois)</t>
        </is>
      </c>
      <c r="B24" s="7" t="n">
        <v>3500</v>
      </c>
      <c r="C24" s="5" t="inlineStr">
        <is>
          <t>€</t>
        </is>
      </c>
      <c r="D24" s="5" t="inlineStr">
        <is>
          <t>Hypothèse : billet et logement 2 500 à 4 000 € + communication</t>
        </is>
      </c>
    </row>
    <row r="25">
      <c r="A25" s="5" t="inlineStr">
        <is>
          <t>Trésorerie de sécurité (en mois de charges)</t>
        </is>
      </c>
      <c r="B25" s="9" t="n">
        <v>3</v>
      </c>
      <c r="C25" s="5" t="inlineStr">
        <is>
          <t>mois</t>
        </is>
      </c>
      <c r="D25" s="5" t="inlineStr">
        <is>
          <t>Hypothèse</t>
        </is>
      </c>
    </row>
    <row r="26">
      <c r="A26" s="5" t="inlineStr">
        <is>
          <t>Mois de loyer et charges payés avant l'ouverture</t>
        </is>
      </c>
      <c r="B26" s="9" t="n">
        <v>3</v>
      </c>
      <c r="C26" s="5" t="inlineStr">
        <is>
          <t>mois</t>
        </is>
      </c>
      <c r="D26" s="5" t="inlineStr">
        <is>
          <t>Hypothèse (bail signé avant l'arrivée des habitants)</t>
        </is>
      </c>
    </row>
    <row r="28">
      <c r="A28" s="10" t="inlineStr">
        <is>
          <t>Financement</t>
        </is>
      </c>
    </row>
    <row r="29">
      <c r="A29" s="4" t="inlineStr">
        <is>
          <t>Libellé</t>
        </is>
      </c>
      <c r="B29" s="4" t="inlineStr">
        <is>
          <t>Valeur</t>
        </is>
      </c>
      <c r="C29" s="4" t="inlineStr">
        <is>
          <t>Unité</t>
        </is>
      </c>
      <c r="D29" s="4" t="inlineStr">
        <is>
          <t>Source / commentaire</t>
        </is>
      </c>
    </row>
    <row r="30">
      <c r="A30" s="5" t="inlineStr">
        <is>
          <t>Prêt d'honneur (Initiative Guadeloupe)</t>
        </is>
      </c>
      <c r="B30" s="7" t="n">
        <v>15000</v>
      </c>
      <c r="C30" s="5" t="inlineStr">
        <is>
          <t>€</t>
        </is>
      </c>
      <c r="D30" s="5" t="inlineStr">
        <is>
          <t>Montants annoncés : 5 000 à 30 000 € (à confirmer)</t>
        </is>
      </c>
    </row>
    <row r="31">
      <c r="A31" s="5" t="inlineStr">
        <is>
          <t>Prêt bancaire ou micro-crédit</t>
        </is>
      </c>
      <c r="B31" s="7" t="n">
        <v>8000</v>
      </c>
      <c r="C31" s="5" t="inlineStr">
        <is>
          <t>€</t>
        </is>
      </c>
      <c r="D31" s="5" t="inlineStr">
        <is>
          <t>Hypothèse ; banques et Adie à vérifier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Scénarios mensuels (régime de croisière)</t>
        </is>
      </c>
    </row>
    <row r="3">
      <c r="A3" s="4" t="inlineStr">
        <is>
          <t>Mensuel, en €</t>
        </is>
      </c>
      <c r="B3" s="11" t="inlineStr">
        <is>
          <t>Prudent</t>
        </is>
      </c>
      <c r="C3" s="11" t="inlineStr">
        <is>
          <t>Cible</t>
        </is>
      </c>
      <c r="D3" s="11" t="inlineStr">
        <is>
          <t>Faible occupation</t>
        </is>
      </c>
      <c r="E3" s="11" t="inlineStr">
        <is>
          <t>Sans AVP</t>
        </is>
      </c>
      <c r="F3" s="11" t="inlineStr">
        <is>
          <t>Mon scénario</t>
        </is>
      </c>
    </row>
    <row r="4">
      <c r="A4" t="inlineStr">
        <is>
          <t>Habitants</t>
        </is>
      </c>
      <c r="B4" s="9" t="n">
        <v>4</v>
      </c>
      <c r="C4" s="9" t="n">
        <v>4</v>
      </c>
      <c r="D4" s="9" t="n">
        <v>3</v>
      </c>
      <c r="E4" s="9" t="n">
        <v>4</v>
      </c>
      <c r="F4" s="9" t="n">
        <v>4</v>
      </c>
    </row>
    <row r="5">
      <c r="A5" t="inlineStr">
        <is>
          <t>AVP par habitant et par an</t>
        </is>
      </c>
      <c r="B5" s="6" t="n">
        <v>3000</v>
      </c>
      <c r="C5" s="6" t="n">
        <v>5000</v>
      </c>
      <c r="D5" s="6" t="n">
        <v>3000</v>
      </c>
      <c r="E5" s="6" t="n">
        <v>0</v>
      </c>
      <c r="F5" s="6" t="n">
        <v>3000</v>
      </c>
    </row>
    <row r="6">
      <c r="A6" t="inlineStr">
        <is>
          <t>Temps de l'animateur (% d'un temps plein)</t>
        </is>
      </c>
      <c r="B6" s="12" t="n">
        <v>0.5</v>
      </c>
      <c r="C6" s="12" t="n">
        <v>0.7</v>
      </c>
      <c r="D6" s="12" t="n">
        <v>0.5</v>
      </c>
      <c r="E6" s="12" t="n">
        <v>0.5</v>
      </c>
      <c r="F6" s="12" t="n">
        <v>0.5</v>
      </c>
    </row>
    <row r="7">
      <c r="A7" t="inlineStr">
        <is>
          <t>Loyer + charges par habitant</t>
        </is>
      </c>
      <c r="B7" s="13">
        <f>'Hypothèses'!$B$10</f>
        <v/>
      </c>
      <c r="C7" s="13">
        <f>'Hypothèses'!$B$10</f>
        <v/>
      </c>
      <c r="D7" s="13">
        <f>'Hypothèses'!$B$10</f>
        <v/>
      </c>
      <c r="E7" s="13">
        <f>'Hypothèses'!$B$10</f>
        <v/>
      </c>
      <c r="F7" s="7" t="n">
        <v>750</v>
      </c>
    </row>
    <row r="8">
      <c r="A8" s="10" t="inlineStr">
        <is>
          <t>Charges</t>
        </is>
      </c>
    </row>
    <row r="9">
      <c r="A9" s="5" t="inlineStr">
        <is>
          <t>Loyer de la maison</t>
        </is>
      </c>
      <c r="B9" s="13">
        <f>'Hypothèses'!$B$4</f>
        <v/>
      </c>
      <c r="C9" s="13">
        <f>'Hypothèses'!$B$4</f>
        <v/>
      </c>
      <c r="D9" s="13">
        <f>'Hypothèses'!$B$4</f>
        <v/>
      </c>
      <c r="E9" s="13">
        <f>'Hypothèses'!$B$4</f>
        <v/>
      </c>
      <c r="F9" s="13">
        <f>'Hypothèses'!$B$4</f>
        <v/>
      </c>
    </row>
    <row r="10">
      <c r="A10" s="5" t="inlineStr">
        <is>
          <t>Charges</t>
        </is>
      </c>
      <c r="B10" s="13">
        <f>'Hypothèses'!$B$5</f>
        <v/>
      </c>
      <c r="C10" s="13">
        <f>'Hypothèses'!$B$5</f>
        <v/>
      </c>
      <c r="D10" s="13">
        <f>'Hypothèses'!$B$5</f>
        <v/>
      </c>
      <c r="E10" s="13">
        <f>'Hypothèses'!$B$5</f>
        <v/>
      </c>
      <c r="F10" s="13">
        <f>'Hypothèses'!$B$5</f>
        <v/>
      </c>
    </row>
    <row r="11">
      <c r="A11" s="5" t="inlineStr">
        <is>
          <t>Entretien</t>
        </is>
      </c>
      <c r="B11" s="13">
        <f>'Hypothèses'!$B$6</f>
        <v/>
      </c>
      <c r="C11" s="13">
        <f>'Hypothèses'!$B$6</f>
        <v/>
      </c>
      <c r="D11" s="13">
        <f>'Hypothèses'!$B$6</f>
        <v/>
      </c>
      <c r="E11" s="13">
        <f>'Hypothèses'!$B$6</f>
        <v/>
      </c>
      <c r="F11" s="13">
        <f>'Hypothèses'!$B$6</f>
        <v/>
      </c>
    </row>
    <row r="12">
      <c r="A12" s="5" t="inlineStr">
        <is>
          <t>Assurance</t>
        </is>
      </c>
      <c r="B12" s="13">
        <f>'Hypothèses'!$B$7</f>
        <v/>
      </c>
      <c r="C12" s="13">
        <f>'Hypothèses'!$B$7</f>
        <v/>
      </c>
      <c r="D12" s="13">
        <f>'Hypothèses'!$B$7</f>
        <v/>
      </c>
      <c r="E12" s="13">
        <f>'Hypothèses'!$B$7</f>
        <v/>
      </c>
      <c r="F12" s="13">
        <f>'Hypothèses'!$B$7</f>
        <v/>
      </c>
    </row>
    <row r="13">
      <c r="A13" s="5" t="inlineStr">
        <is>
          <t>Comptabilité et frais de structure</t>
        </is>
      </c>
      <c r="B13" s="13">
        <f>'Hypothèses'!$B$8</f>
        <v/>
      </c>
      <c r="C13" s="13">
        <f>'Hypothèses'!$B$8</f>
        <v/>
      </c>
      <c r="D13" s="13">
        <f>'Hypothèses'!$B$8</f>
        <v/>
      </c>
      <c r="E13" s="13">
        <f>'Hypothèses'!$B$8</f>
        <v/>
      </c>
      <c r="F13" s="13">
        <f>'Hypothèses'!$B$8</f>
        <v/>
      </c>
    </row>
    <row r="14">
      <c r="A14" s="5" t="inlineStr">
        <is>
          <t>Animateur(trice)</t>
        </is>
      </c>
      <c r="B14" s="13">
        <f>'Hypothèses'!$B$9*B6</f>
        <v/>
      </c>
      <c r="C14" s="13">
        <f>'Hypothèses'!$B$9*C6</f>
        <v/>
      </c>
      <c r="D14" s="13">
        <f>'Hypothèses'!$B$9*D6</f>
        <v/>
      </c>
      <c r="E14" s="13">
        <f>'Hypothèses'!$B$9*E6</f>
        <v/>
      </c>
      <c r="F14" s="13">
        <f>'Hypothèses'!$B$9*F6</f>
        <v/>
      </c>
    </row>
    <row r="15">
      <c r="A15" s="10" t="inlineStr">
        <is>
          <t>Total charges</t>
        </is>
      </c>
      <c r="B15" s="14">
        <f>SUM(B9:B14)</f>
        <v/>
      </c>
      <c r="C15" s="14">
        <f>SUM(C9:C14)</f>
        <v/>
      </c>
      <c r="D15" s="14">
        <f>SUM(D9:D14)</f>
        <v/>
      </c>
      <c r="E15" s="14">
        <f>SUM(E9:E14)</f>
        <v/>
      </c>
      <c r="F15" s="14">
        <f>SUM(F9:F14)</f>
        <v/>
      </c>
    </row>
    <row r="16">
      <c r="A16" s="10" t="inlineStr">
        <is>
          <t>Recettes</t>
        </is>
      </c>
    </row>
    <row r="17">
      <c r="A17" s="5" t="inlineStr">
        <is>
          <t>Recettes AVP</t>
        </is>
      </c>
      <c r="B17" s="15">
        <f>B4*B5/12</f>
        <v/>
      </c>
      <c r="C17" s="15">
        <f>C4*C5/12</f>
        <v/>
      </c>
      <c r="D17" s="15">
        <f>D4*D5/12</f>
        <v/>
      </c>
      <c r="E17" s="15">
        <f>E4*E5/12</f>
        <v/>
      </c>
      <c r="F17" s="15">
        <f>F4*F5/12</f>
        <v/>
      </c>
    </row>
    <row r="18">
      <c r="A18" s="5" t="inlineStr">
        <is>
          <t>Recettes loyers des habitants</t>
        </is>
      </c>
      <c r="B18" s="15">
        <f>B4*B7</f>
        <v/>
      </c>
      <c r="C18" s="15">
        <f>C4*C7</f>
        <v/>
      </c>
      <c r="D18" s="15">
        <f>D4*D7</f>
        <v/>
      </c>
      <c r="E18" s="15">
        <f>E4*E7</f>
        <v/>
      </c>
      <c r="F18" s="15">
        <f>F4*F7</f>
        <v/>
      </c>
    </row>
    <row r="19">
      <c r="A19" s="10" t="inlineStr">
        <is>
          <t>Total recettes</t>
        </is>
      </c>
      <c r="B19" s="14">
        <f>B17+B18</f>
        <v/>
      </c>
      <c r="C19" s="14">
        <f>C17+C18</f>
        <v/>
      </c>
      <c r="D19" s="14">
        <f>D17+D18</f>
        <v/>
      </c>
      <c r="E19" s="14">
        <f>E17+E18</f>
        <v/>
      </c>
      <c r="F19" s="14">
        <f>F17+F18</f>
        <v/>
      </c>
    </row>
    <row r="20">
      <c r="A20" s="10" t="inlineStr">
        <is>
          <t>Résultats</t>
        </is>
      </c>
    </row>
    <row r="21">
      <c r="A21" s="10" t="inlineStr">
        <is>
          <t>Résultat mensuel</t>
        </is>
      </c>
      <c r="B21" s="16">
        <f>B19-B15</f>
        <v/>
      </c>
      <c r="C21" s="16">
        <f>C19-C15</f>
        <v/>
      </c>
      <c r="D21" s="16">
        <f>D19-D15</f>
        <v/>
      </c>
      <c r="E21" s="16">
        <f>E19-E15</f>
        <v/>
      </c>
      <c r="F21" s="16">
        <f>F19-F15</f>
        <v/>
      </c>
    </row>
    <row r="22">
      <c r="A22" s="5" t="inlineStr">
        <is>
          <t>Résultat annuel</t>
        </is>
      </c>
      <c r="B22" s="15">
        <f>B21*12</f>
        <v/>
      </c>
      <c r="C22" s="15">
        <f>C21*12</f>
        <v/>
      </c>
      <c r="D22" s="15">
        <f>D21*12</f>
        <v/>
      </c>
      <c r="E22" s="15">
        <f>E21*12</f>
        <v/>
      </c>
      <c r="F22" s="15">
        <f>F21*12</f>
        <v/>
      </c>
    </row>
    <row r="23">
      <c r="A23" s="5" t="inlineStr">
        <is>
          <t>Loyer d'équilibre par habitant (avec AVP)</t>
        </is>
      </c>
      <c r="B23" s="15">
        <f>IF(B4&gt;0,(B15-B17)/B4,0)</f>
        <v/>
      </c>
      <c r="C23" s="15">
        <f>IF(C4&gt;0,(C15-C17)/C4,0)</f>
        <v/>
      </c>
      <c r="D23" s="15">
        <f>IF(D4&gt;0,(D15-D17)/D4,0)</f>
        <v/>
      </c>
      <c r="E23" s="15">
        <f>IF(E4&gt;0,(E15-E17)/E4,0)</f>
        <v/>
      </c>
      <c r="F23" s="15">
        <f>IF(F4&gt;0,(F15-F17)/F4,0)</f>
        <v/>
      </c>
    </row>
    <row r="24">
      <c r="A24" s="5" t="inlineStr">
        <is>
          <t>Loyer d'équilibre par habitant (sans AVP)</t>
        </is>
      </c>
      <c r="B24" s="15">
        <f>IF(B4&gt;0,B15/B4,0)</f>
        <v/>
      </c>
      <c r="C24" s="15">
        <f>IF(C4&gt;0,C15/C4,0)</f>
        <v/>
      </c>
      <c r="D24" s="15">
        <f>IF(D4&gt;0,D15/D4,0)</f>
        <v/>
      </c>
      <c r="E24" s="15">
        <f>IF(E4&gt;0,E15/E4,0)</f>
        <v/>
      </c>
      <c r="F24" s="15">
        <f>IF(F4&gt;0,F15/F4,0)</f>
        <v/>
      </c>
    </row>
    <row r="26">
      <c r="A26" s="5" t="inlineStr">
        <is>
          <t>Marge DMS potentielle sur prestations (hors résultat)</t>
        </is>
      </c>
      <c r="B26" s="13">
        <f>B4*'Hypothèses'!$B$15*'Hypothèses'!$B$14</f>
        <v/>
      </c>
      <c r="C26" s="13">
        <f>C4*'Hypothèses'!$B$15*'Hypothèses'!$B$14</f>
        <v/>
      </c>
      <c r="D26" s="13">
        <f>D4*'Hypothèses'!$B$15*'Hypothèses'!$B$14</f>
        <v/>
      </c>
      <c r="E26" s="13">
        <f>E4*'Hypothèses'!$B$15*'Hypothèses'!$B$14</f>
        <v/>
      </c>
      <c r="F26" s="13">
        <f>F4*'Hypothèses'!$B$15*'Hypothèses'!$B$14</f>
        <v/>
      </c>
    </row>
    <row r="27">
      <c r="A27" s="5" t="inlineStr">
        <is>
          <t>Résultat mensuel après remboursement du prêt bancaire</t>
        </is>
      </c>
      <c r="B27" s="15">
        <f>B21-'Démarrage et financement'!$B$19</f>
        <v/>
      </c>
      <c r="C27" s="15">
        <f>C21-'Démarrage et financement'!$B$19</f>
        <v/>
      </c>
      <c r="D27" s="15">
        <f>D21-'Démarrage et financement'!$B$19</f>
        <v/>
      </c>
      <c r="E27" s="15">
        <f>E21-'Démarrage et financement'!$B$19</f>
        <v/>
      </c>
      <c r="F27" s="15">
        <f>F21-'Démarrage et financement'!$B$19</f>
        <v/>
      </c>
    </row>
    <row r="29">
      <c r="A29" s="5" t="inlineStr">
        <is>
          <t>Lecture : une chambre vide coûte environ le loyer d'équilibre ci-dessus. Sans AVP, le modèle ne tient pas : obtenir la convention avant de signer le bail.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Montée en charge : 6 premiers mois après l'ouverture (scénario Prudent)</t>
        </is>
      </c>
    </row>
    <row r="3">
      <c r="A3" s="4" t="inlineStr">
        <is>
          <t>Mois</t>
        </is>
      </c>
      <c r="B3" s="11" t="inlineStr">
        <is>
          <t>Mois 1</t>
        </is>
      </c>
      <c r="C3" s="11" t="inlineStr">
        <is>
          <t>Mois 2</t>
        </is>
      </c>
      <c r="D3" s="11" t="inlineStr">
        <is>
          <t>Mois 3</t>
        </is>
      </c>
      <c r="E3" s="11" t="inlineStr">
        <is>
          <t>Mois 4</t>
        </is>
      </c>
      <c r="F3" s="11" t="inlineStr">
        <is>
          <t>Mois 5</t>
        </is>
      </c>
      <c r="G3" s="11" t="inlineStr">
        <is>
          <t>Mois 6</t>
        </is>
      </c>
      <c r="H3" s="4" t="inlineStr">
        <is>
          <t>Total</t>
        </is>
      </c>
    </row>
    <row r="4">
      <c r="A4" t="inlineStr">
        <is>
          <t>Habitants présents</t>
        </is>
      </c>
      <c r="B4" s="9" t="n">
        <v>2</v>
      </c>
      <c r="C4" s="9" t="n">
        <v>3</v>
      </c>
      <c r="D4" s="9" t="n">
        <v>3</v>
      </c>
      <c r="E4" s="9" t="n">
        <v>4</v>
      </c>
      <c r="F4" s="9" t="n">
        <v>4</v>
      </c>
      <c r="G4" s="9" t="n">
        <v>4</v>
      </c>
      <c r="H4" s="17">
        <f>SUM(B4:G4)</f>
        <v/>
      </c>
    </row>
    <row r="5">
      <c r="A5" t="inlineStr">
        <is>
          <t>Recettes (AVP + loyers)</t>
        </is>
      </c>
      <c r="B5" s="13">
        <f>B4*('Scénarios'!$B$5/12+'Scénarios'!$B$7)</f>
        <v/>
      </c>
      <c r="C5" s="13">
        <f>C4*('Scénarios'!$B$5/12+'Scénarios'!$B$7)</f>
        <v/>
      </c>
      <c r="D5" s="13">
        <f>D4*('Scénarios'!$B$5/12+'Scénarios'!$B$7)</f>
        <v/>
      </c>
      <c r="E5" s="13">
        <f>E4*('Scénarios'!$B$5/12+'Scénarios'!$B$7)</f>
        <v/>
      </c>
      <c r="F5" s="13">
        <f>F4*('Scénarios'!$B$5/12+'Scénarios'!$B$7)</f>
        <v/>
      </c>
      <c r="G5" s="13">
        <f>G4*('Scénarios'!$B$5/12+'Scénarios'!$B$7)</f>
        <v/>
      </c>
      <c r="H5" s="14">
        <f>SUM(B5:G5)</f>
        <v/>
      </c>
    </row>
    <row r="6">
      <c r="A6" t="inlineStr">
        <is>
          <t>Charges</t>
        </is>
      </c>
      <c r="B6" s="13">
        <f>'Scénarios'!$B$15</f>
        <v/>
      </c>
      <c r="C6" s="13">
        <f>'Scénarios'!$B$15</f>
        <v/>
      </c>
      <c r="D6" s="13">
        <f>'Scénarios'!$B$15</f>
        <v/>
      </c>
      <c r="E6" s="13">
        <f>'Scénarios'!$B$15</f>
        <v/>
      </c>
      <c r="F6" s="13">
        <f>'Scénarios'!$B$15</f>
        <v/>
      </c>
      <c r="G6" s="13">
        <f>'Scénarios'!$B$15</f>
        <v/>
      </c>
      <c r="H6" s="14">
        <f>SUM(B6:G6)</f>
        <v/>
      </c>
    </row>
    <row r="7">
      <c r="A7" t="inlineStr">
        <is>
          <t>Résultat</t>
        </is>
      </c>
      <c r="B7" s="14">
        <f>B5-B6</f>
        <v/>
      </c>
      <c r="C7" s="14">
        <f>C5-C6</f>
        <v/>
      </c>
      <c r="D7" s="14">
        <f>D5-D6</f>
        <v/>
      </c>
      <c r="E7" s="14">
        <f>E5-E6</f>
        <v/>
      </c>
      <c r="F7" s="14">
        <f>F5-F6</f>
        <v/>
      </c>
      <c r="G7" s="14">
        <f>G5-G6</f>
        <v/>
      </c>
      <c r="H7" s="14">
        <f>SUM(B7:G7)</f>
        <v/>
      </c>
    </row>
    <row r="8">
      <c r="A8" t="inlineStr">
        <is>
          <t>Résultat cumulé</t>
        </is>
      </c>
      <c r="B8" s="15">
        <f>SUM($B$7:B7)</f>
        <v/>
      </c>
      <c r="C8" s="15">
        <f>SUM($B$7:C7)</f>
        <v/>
      </c>
      <c r="D8" s="15">
        <f>SUM($B$7:D7)</f>
        <v/>
      </c>
      <c r="E8" s="15">
        <f>SUM($B$7:E7)</f>
        <v/>
      </c>
      <c r="F8" s="15">
        <f>SUM($B$7:F7)</f>
        <v/>
      </c>
      <c r="G8" s="15">
        <f>SUM($B$7:G7)</f>
        <v/>
      </c>
    </row>
    <row r="10">
      <c r="A10" t="inlineStr">
        <is>
          <t>À prévoir en plus : loyer et charges de la maison avant l'arrivée des habitants (voir onglet Démarrage et financement).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</cols>
  <sheetData>
    <row r="1">
      <c r="A1" s="1" t="inlineStr">
        <is>
          <t>Budget de démarrage et financement</t>
        </is>
      </c>
    </row>
    <row r="3">
      <c r="A3" s="4" t="inlineStr">
        <is>
          <t>Poste</t>
        </is>
      </c>
      <c r="B3" s="4" t="inlineStr">
        <is>
          <t>Montant</t>
        </is>
      </c>
    </row>
    <row r="4">
      <c r="A4" s="5" t="inlineStr">
        <is>
          <t>Dépôt de garantie + premier loyer</t>
        </is>
      </c>
      <c r="B4" s="13">
        <f>'Hypothèses'!B19*'Hypothèses'!B4</f>
        <v/>
      </c>
    </row>
    <row r="5">
      <c r="A5" s="5" t="inlineStr">
        <is>
          <t>Mobilier et équipement</t>
        </is>
      </c>
      <c r="B5" s="13">
        <f>'Hypothèses'!B20</f>
        <v/>
      </c>
    </row>
    <row r="6">
      <c r="A6" s="5" t="inlineStr">
        <is>
          <t>Petites adaptations</t>
        </is>
      </c>
      <c r="B6" s="13">
        <f>'Hypothèses'!B21</f>
        <v/>
      </c>
    </row>
    <row r="7">
      <c r="A7" s="5" t="inlineStr">
        <is>
          <t>Création de la structure dédiée et frais juridiques</t>
        </is>
      </c>
      <c r="B7" s="13">
        <f>'Hypothèses'!B22</f>
        <v/>
      </c>
    </row>
    <row r="8">
      <c r="A8" s="5" t="inlineStr">
        <is>
          <t>Assurances de la première année</t>
        </is>
      </c>
      <c r="B8" s="13">
        <f>'Hypothèses'!B23</f>
        <v/>
      </c>
    </row>
    <row r="9">
      <c r="A9" s="5" t="inlineStr">
        <is>
          <t>Communication, recherche d'habitants et séjour sur place</t>
        </is>
      </c>
      <c r="B9" s="13">
        <f>'Hypothèses'!B24</f>
        <v/>
      </c>
    </row>
    <row r="10">
      <c r="A10" s="5" t="inlineStr">
        <is>
          <t>Trésorerie de sécurité</t>
        </is>
      </c>
      <c r="B10" s="13">
        <f>'Hypothèses'!B25*'Scénarios'!B15</f>
        <v/>
      </c>
    </row>
    <row r="11">
      <c r="A11" s="10" t="inlineStr">
        <is>
          <t>Total budget de démarrage</t>
        </is>
      </c>
      <c r="B11" s="16">
        <f>SUM(B4:B10)</f>
        <v/>
      </c>
    </row>
    <row r="12">
      <c r="A12" s="5" t="inlineStr">
        <is>
          <t>Mémo (hors total) : loyer et charges avant l'ouverture</t>
        </is>
      </c>
      <c r="B12" s="13">
        <f>'Hypothèses'!B26*('Hypothèses'!B4+'Hypothèses'!B5+'Hypothèses'!B6+'Hypothèses'!B7)</f>
        <v/>
      </c>
    </row>
    <row r="14">
      <c r="A14" s="10" t="inlineStr">
        <is>
          <t>Financement</t>
        </is>
      </c>
    </row>
    <row r="15">
      <c r="A15" s="5" t="inlineStr">
        <is>
          <t>Prêt d'honneur</t>
        </is>
      </c>
      <c r="B15" s="13">
        <f>'Hypothèses'!B30</f>
        <v/>
      </c>
    </row>
    <row r="16">
      <c r="A16" s="5" t="inlineStr">
        <is>
          <t>Prêt bancaire ou micro-crédit</t>
        </is>
      </c>
      <c r="B16" s="13">
        <f>'Hypothèses'!B31</f>
        <v/>
      </c>
    </row>
    <row r="17">
      <c r="A17" s="5" t="inlineStr">
        <is>
          <t>Apport personnel nécessaire (total - prêts)</t>
        </is>
      </c>
      <c r="B17" s="15">
        <f>MAX(0,B11-B15-B16)</f>
        <v/>
      </c>
    </row>
    <row r="18">
      <c r="A18" s="5" t="inlineStr">
        <is>
          <t>Contrôle : financement - besoin (doit être &gt;= 0)</t>
        </is>
      </c>
      <c r="B18" s="15">
        <f>B15+B16+B17-B11</f>
        <v/>
      </c>
    </row>
    <row r="19">
      <c r="A19" s="5" t="inlineStr">
        <is>
          <t>Remboursement mensuel du prêt bancaire</t>
        </is>
      </c>
      <c r="B19" s="15">
        <f>IF('Hypothèses'!B31&gt;0,-PMT('Hypothèses'!B11/12,'Hypothèses'!B12*12,'Hypothèses'!B31),0)</f>
        <v/>
      </c>
    </row>
    <row r="20">
      <c r="A20" s="5" t="inlineStr">
        <is>
          <t>Remboursement mensuel du prêt d'honneur (remboursé à titre personnel)</t>
        </is>
      </c>
      <c r="B20" s="15">
        <f>IF('Hypothèses'!B13&gt;0,B15/('Hypothèses'!B13*12),0)</f>
        <v/>
      </c>
    </row>
    <row r="22">
      <c r="A22" s="5" t="inlineStr">
        <is>
          <t>Lecture : le scénario Prudent ne couvre pas les remboursements. Renforcer le modèle (AVP, loyer, remplissage) avant de s'endetter.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2026-10-02T09:59:47Z</dcterms:created>
  <dcterms:modified xsi:type="dcterms:W3CDTF">2026-10-02T09:59:47Z</dcterms:modified>
</cp:coreProperties>
</file>